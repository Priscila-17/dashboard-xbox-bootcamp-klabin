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ittl\Downloads\"/>
    </mc:Choice>
  </mc:AlternateContent>
  <xr:revisionPtr revIDLastSave="0" documentId="13_ncr:1_{DA4231BC-775C-4F65-A9D8-19C78D9BF361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7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3" l="1"/>
  <c r="D19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<sst xmlns="http://schemas.openxmlformats.org/spreadsheetml/2006/main" count="2017" uniqueCount="319">
  <si>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</si>
  <si>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</si>
  <si>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</si>
  <si>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</si>
  <si>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</si>
  <si>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</si>
  <si>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</si>
  <si>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</si>
  <si>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</si>
  <si>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</si>
  <si>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</si>
  <si>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</si>
  <si>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</si>
  <si>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</si>
  <si>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</si>
  <si>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</si>
  <si>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</si>
  <si>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</si>
  <si>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</si>
  <si>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</si>
  <si>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</si>
  <si>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</si>
  <si>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</si>
  <si>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</si>
  <si>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</si>
  <si>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</si>
  <si>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</si>
  <si>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</si>
  <si>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</si>
  <si>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</si>
  <si>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</si>
  <si>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</si>
  <si>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</si>
  <si>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</si>
  <si>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</si>
  <si>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</si>
  <si>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</si>
  <si>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</si>
  <si>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</si>
  <si>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</si>
  <si>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</si>
  <si>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</si>
  <si>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</si>
  <si>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</si>
  <si>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</si>
  <si>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</si>
  <si>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</si>
  <si>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</si>
  <si>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</si>
  <si>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</si>
  <si>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</si>
  <si>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</si>
  <si>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</si>
  <si>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</si>
  <si>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</si>
  <si>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</si>
  <si>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</si>
  <si>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</si>
  <si>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</si>
  <si>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</si>
  <si>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</si>
  <si>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</si>
  <si>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</si>
  <si>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</si>
  <si>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</si>
  <si>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</si>
  <si>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</si>
  <si>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</si>
  <si>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</si>
  <si>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</si>
  <si>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</si>
  <si>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</si>
  <si>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</si>
  <si>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</si>
  <si>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</si>
  <si>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</si>
  <si>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</si>
  <si>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</si>
  <si>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</si>
  <si>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</si>
  <si>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</si>
  <si>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</si>
  <si>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</si>
  <si>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</si>
  <si>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</si>
  <si>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</si>
  <si>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</si>
  <si>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</si>
  <si>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</si>
  <si>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</si>
  <si>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</si>
  <si>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</si>
  <si>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</si>
  <si>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</si>
  <si>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</si>
  <si>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</si>
  <si>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</si>
  <si>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</si>
  <si>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</si>
  <si>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</si>
  <si>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</si>
  <si>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</si>
  <si>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</si>
  <si>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</si>
  <si>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</si>
  <si>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</si>
  <si>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</si>
  <si>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</si>
  <si>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</si>
  <si>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</si>
  <si>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</si>
  <si>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</si>
  <si>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</si>
  <si>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</si>
  <si>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</si>
  <si>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</si>
  <si>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</si>
  <si>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</si>
  <si>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</si>
  <si>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</si>
  <si>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</si>
  <si>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</si>
  <si>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</si>
  <si>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</si>
  <si>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</si>
  <si>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</si>
  <si>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</si>
  <si>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</si>
  <si>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</si>
  <si>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</si>
  <si>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</si>
  <si>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</si>
  <si>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</si>
  <si>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</si>
  <si>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</si>
  <si>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</si>
  <si>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</si>
  <si>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</si>
  <si>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</si>
  <si>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</si>
  <si>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</si>
  <si>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</si>
  <si>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</si>
  <si>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</si>
  <si>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</si>
  <si>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</si>
  <si>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</si>
  <si>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</si>
  <si>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</si>
  <si>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</si>
  <si>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</si>
  <si>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</si>
  <si>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</si>
  <si>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</si>
  <si>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</si>
  <si>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</si>
  <si>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</si>
  <si>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</si>
  <si>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</si>
  <si>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</si>
  <si>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</si>
  <si>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</si>
  <si>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</si>
  <si>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</si>
  <si>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</si>
  <si>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</si>
  <si>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</si>
  <si>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</si>
  <si>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</si>
  <si>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</si>
  <si>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</si>
  <si>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</si>
  <si>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</si>
  <si>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</si>
  <si>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</si>
  <si>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</si>
  <si>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</si>
  <si>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</si>
  <si>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</si>
  <si>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</si>
  <si>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</si>
  <si>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</si>
  <si>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</si>
  <si>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</si>
  <si>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</si>
  <si>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</si>
  <si>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</si>
  <si>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</si>
  <si>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</si>
  <si>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</si>
  <si>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</si>
  <si>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</si>
  <si>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</si>
  <si>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</si>
  <si>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</si>
  <si>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</si>
  <si>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</si>
  <si>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</si>
  <si>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</si>
  <si>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</si>
  <si>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</si>
  <si>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</si>
  <si>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</si>
  <si>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</si>
  <si>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</si>
  <si>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</si>
  <si>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</si>
  <si>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</si>
  <si>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</si>
  <si>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</si>
  <si>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</si>
  <si>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</si>
  <si>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</si>
  <si>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</si>
  <si>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</si>
  <si>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</si>
  <si>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</si>
  <si>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</si>
  <si>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</si>
  <si>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</si>
  <si>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</si>
  <si>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</si>
  <si>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</si>
  <si>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</si>
  <si>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</si>
  <si>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</si>
  <si>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</si>
  <si>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</si>
  <si>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</si>
  <si>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</si>
  <si>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</si>
  <si>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</si>
  <si>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</si>
  <si>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</si>
  <si>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</si>
  <si>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</si>
  <si>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</si>
  <si>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</si>
  <si>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</si>
  <si>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</si>
  <si>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</si>
  <si>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</si>
  <si>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</si>
  <si>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</si>
  <si>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</si>
  <si>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</si>
  <si>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</si>
  <si>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</si>
  <si>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</si>
  <si>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</si>
  <si>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</si>
  <si>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</si>
  <si>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</si>
  <si>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</si>
  <si>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</si>
  <si>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</si>
  <si>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</si>
  <si>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</si>
  <si>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</si>
  <si>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</si>
  <si>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</si>
  <si>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</si>
  <si>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</si>
  <si>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</si>
  <si>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</si>
  <si>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</si>
  <si>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</si>
  <si>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</si>
  <si>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</si>
  <si>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</si>
  <si>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</si>
  <si>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</si>
  <si>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</si>
  <si>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</si>
  <si>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</si>
  <si>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</si>
  <si>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</si>
  <si>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</si>
  <si>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</si>
  <si>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</si>
  <si>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</si>
  <si>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</si>
  <si>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</si>
  <si>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</si>
  <si>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</si>
  <si>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</si>
  <si>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</si>
  <si>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</si>
  <si>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</si>
  <si>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</si>
  <si>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</si>
  <si>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</si>
  <si>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</si>
  <si>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</si>
  <si>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</si>
  <si>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</si>
  <si>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</si>
  <si>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</si>
  <si>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</si>
  <si>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</si>
  <si>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</si>
  <si>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</si>
  <si>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</si>
  <si>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</si>
  <si>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</si>
  <si>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</si>
  <si>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</si>
  <si>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</si>
  <si>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</si>
  <si>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</si>
  <si>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</si>
  <si>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</si>
  <si>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</si>
  <si>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</si>
  <si>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</si>
  <si>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</si>
  <si>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Soma de EA Play Season Pass</t>
  </si>
  <si>
    <t>Soma de Minecraft Season Pass Price</t>
  </si>
  <si>
    <t>XBOX GAME PASS SUBSCRIPTION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</si>
</sst>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1" applyFont="1" applyBorder="1"/>
    <xf numFmtId="0" fontId="1" fillId="0" borderId="2" xfId="1" applyBorder="1"/>
    <xf numFmtId="165" fontId="0" fillId="0" borderId="0" xfId="0" applyNumberFormat="1"/>
    <xf numFmtId="0" fontId="0" fillId="8" borderId="0" xfId="0" applyFill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92D050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0B802FC-D89F-43F8-A2A6-0F98B8D5240B}">
      <tableStyleElement type="wholeTable" dxfId="1"/>
      <tableStyleElement type="headerRow" dxfId="0"/>
    </tableStyle>
  </tableStyles>
  <colors>
    <mruColors>
      <color rgb="FF2AE6B1"/>
      <color rgb="FF5BF6A8"/>
      <color rgb="FFE8E6E9"/>
      <color rgb="FF22C55E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[805d54f9-6d53-4246-bed7-4aa2da615923.xlsx]C̳álculos!autorenewal_total</c:name>
    <c:fmtId val="4"/>
  </c:pivotSource>
  <c:chart>
    <c:autoTitleDeleted val="1"/>
    <c:pivotFmts>
      <c:pivotFmt>
        <c:idx val="0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C̳álculos!$C$7:$C$9</c:f>
              <c:numCache>
                <c:formatCode>General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4B-472D-A64F-F0704E332E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3827200"/>
        <c:axId val="1693816160"/>
      </c:barChart>
      <c:catAx>
        <c:axId val="16938272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3816160"/>
        <c:crosses val="autoZero"/>
        <c:auto val="1"/>
        <c:lblAlgn val="ctr"/>
        <c:lblOffset val="100"/>
        <c:noMultiLvlLbl val="0"/>
      </c:catAx>
      <c:valAx>
        <c:axId val="1693816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9382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1300002</xdr:colOff>
      <xdr:row>1</xdr:row>
      <xdr:rowOff>62822</xdr:rowOff>
    </xdr:from>
    <xdr:to>
      <xdr:col>1</xdr:col>
      <xdr:colOff>11774</xdr:colOff>
      <xdr:row>6</xdr:row>
      <xdr:rowOff>106752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B2DC99-FB57-42F5-B01C-6F72327421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0" r="70957"/>
        <a:stretch/>
      </xdr:blipFill>
      <xdr:spPr>
        <a:xfrm>
          <a:off x="1300002" y="242620"/>
          <a:ext cx="638176" cy="985728"/>
        </a:xfrm>
        <a:prstGeom prst="rect">
          <a:avLst/>
        </a:prstGeom>
      </xdr:spPr>
    </xdr:pic>
    <xdr:clientData/>
  </xdr:twoCellAnchor>
  <xdr:twoCellAnchor editAs="absolute">
    <xdr:from>
      <xdr:col>2</xdr:col>
      <xdr:colOff>164685</xdr:colOff>
      <xdr:row>14</xdr:row>
      <xdr:rowOff>81872</xdr:rowOff>
    </xdr:from>
    <xdr:to>
      <xdr:col>17</xdr:col>
      <xdr:colOff>488022</xdr:colOff>
      <xdr:row>29</xdr:row>
      <xdr:rowOff>110447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EF7DAB-B44C-40C7-AAB6-0867FC1BA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72347</xdr:colOff>
      <xdr:row>8</xdr:row>
      <xdr:rowOff>92661</xdr:rowOff>
    </xdr:from>
    <xdr:to>
      <xdr:col>0</xdr:col>
      <xdr:colOff>1901147</xdr:colOff>
      <xdr:row>22</xdr:row>
      <xdr:rowOff>141890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8A0BDF3-10F9-4F9E-AC03-49DD27E7FD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347" y="1813582"/>
              <a:ext cx="1828800" cy="25663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131202</xdr:colOff>
      <xdr:row>6</xdr:row>
      <xdr:rowOff>139502</xdr:rowOff>
    </xdr:from>
    <xdr:to>
      <xdr:col>9</xdr:col>
      <xdr:colOff>325728</xdr:colOff>
      <xdr:row>13</xdr:row>
      <xdr:rowOff>10488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877B078B-0BE7-2894-B669-52A7CE85E791}"/>
            </a:ext>
          </a:extLst>
        </xdr:cNvPr>
        <xdr:cNvGrpSpPr/>
      </xdr:nvGrpSpPr>
      <xdr:grpSpPr>
        <a:xfrm>
          <a:off x="2297337" y="1261098"/>
          <a:ext cx="4449739" cy="1369300"/>
          <a:chOff x="2297337" y="1261098"/>
          <a:chExt cx="4449739" cy="1369300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1AA68B17-5E7F-EEAE-EFB3-569CC664C9F3}"/>
              </a:ext>
            </a:extLst>
          </xdr:cNvPr>
          <xdr:cNvSpPr/>
        </xdr:nvSpPr>
        <xdr:spPr>
          <a:xfrm>
            <a:off x="2298702" y="1408309"/>
            <a:ext cx="4445795" cy="122208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E49DCE82-96A8-3C2E-DB7F-DA9F33DF19D6}"/>
              </a:ext>
            </a:extLst>
          </xdr:cNvPr>
          <xdr:cNvSpPr/>
        </xdr:nvSpPr>
        <xdr:spPr>
          <a:xfrm>
            <a:off x="2297337" y="1261098"/>
            <a:ext cx="4449739" cy="413953"/>
          </a:xfrm>
          <a:prstGeom prst="round2SameRect">
            <a:avLst/>
          </a:prstGeom>
          <a:solidFill>
            <a:srgbClr val="92D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solidFill>
                  <a:schemeClr val="bg1"/>
                </a:solidFill>
              </a:rPr>
              <a:t>TOTAL</a:t>
            </a:r>
            <a:r>
              <a:rPr lang="pt-BR" sz="1600" baseline="0">
                <a:solidFill>
                  <a:schemeClr val="bg1"/>
                </a:solidFill>
              </a:rPr>
              <a:t> SUBSCRIPTION EA PLAY SEASON PASS</a:t>
            </a:r>
            <a:endParaRPr lang="pt-BR" sz="1100">
              <a:solidFill>
                <a:schemeClr val="bg1"/>
              </a:solidFill>
            </a:endParaRPr>
          </a:p>
        </xdr:txBody>
      </xdr:sp>
      <xdr:sp macro="" textlink="C̳álculos!D19">
        <xdr:nvSpPr>
          <xdr:cNvPr id="9" name="Retângulo 8">
            <a:extLst>
              <a:ext uri="{FF2B5EF4-FFF2-40B4-BE49-F238E27FC236}">
                <a16:creationId xmlns:a16="http://schemas.microsoft.com/office/drawing/2014/main" id="{A54FCADE-D8CB-A412-104D-F00282E4C25D}"/>
              </a:ext>
            </a:extLst>
          </xdr:cNvPr>
          <xdr:cNvSpPr/>
        </xdr:nvSpPr>
        <xdr:spPr>
          <a:xfrm>
            <a:off x="4161035" y="1892156"/>
            <a:ext cx="2226066" cy="55651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1864053E-C8FE-47AB-9F12-FA646EFEC04B}" type="TxLink">
              <a:rPr lang="en-US" sz="2800" b="0" i="0" u="none" strike="noStrike">
                <a:solidFill>
                  <a:srgbClr val="000000"/>
                </a:solidFill>
                <a:latin typeface="Aptos Narrow"/>
              </a:rPr>
              <a:t>R$ 990,00</a:t>
            </a:fld>
            <a:endParaRPr lang="pt-BR" sz="2800"/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B8EF5B07-1D37-4E85-9833-739386170F1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3500" b="22890"/>
          <a:stretch/>
        </xdr:blipFill>
        <xdr:spPr>
          <a:xfrm>
            <a:off x="2654157" y="1849349"/>
            <a:ext cx="1219200" cy="625012"/>
          </a:xfrm>
          <a:prstGeom prst="rect">
            <a:avLst/>
          </a:prstGeom>
        </xdr:spPr>
      </xdr:pic>
    </xdr:grpSp>
    <xdr:clientData/>
  </xdr:twoCellAnchor>
  <xdr:twoCellAnchor editAs="absolute">
    <xdr:from>
      <xdr:col>10</xdr:col>
      <xdr:colOff>187472</xdr:colOff>
      <xdr:row>6</xdr:row>
      <xdr:rowOff>140382</xdr:rowOff>
    </xdr:from>
    <xdr:to>
      <xdr:col>17</xdr:col>
      <xdr:colOff>537449</xdr:colOff>
      <xdr:row>13</xdr:row>
      <xdr:rowOff>11368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7451188F-764E-934A-ABED-01D7AFD34628}"/>
            </a:ext>
          </a:extLst>
        </xdr:cNvPr>
        <xdr:cNvGrpSpPr/>
      </xdr:nvGrpSpPr>
      <xdr:grpSpPr>
        <a:xfrm>
          <a:off x="7216708" y="1261978"/>
          <a:ext cx="4451078" cy="1369300"/>
          <a:chOff x="7216708" y="1261978"/>
          <a:chExt cx="4451078" cy="1369300"/>
        </a:xfrm>
      </xdr:grpSpPr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85A101DB-876D-4185-8C4A-5545787883B7}"/>
              </a:ext>
            </a:extLst>
          </xdr:cNvPr>
          <xdr:cNvSpPr/>
        </xdr:nvSpPr>
        <xdr:spPr>
          <a:xfrm>
            <a:off x="7218074" y="1409189"/>
            <a:ext cx="4445256" cy="122208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7366E77A-558C-41EC-97E7-697C914D7A0A}"/>
              </a:ext>
            </a:extLst>
          </xdr:cNvPr>
          <xdr:cNvSpPr/>
        </xdr:nvSpPr>
        <xdr:spPr>
          <a:xfrm>
            <a:off x="7216708" y="1261978"/>
            <a:ext cx="4451078" cy="413953"/>
          </a:xfrm>
          <a:prstGeom prst="round2SameRect">
            <a:avLst/>
          </a:prstGeom>
          <a:solidFill>
            <a:srgbClr val="92D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solidFill>
                  <a:schemeClr val="bg1"/>
                </a:solidFill>
              </a:rPr>
              <a:t>TOTAL SUBSCRIPTION  MINECRAFT</a:t>
            </a:r>
            <a:r>
              <a:rPr lang="pt-BR" sz="1600" baseline="0">
                <a:solidFill>
                  <a:schemeClr val="bg1"/>
                </a:solidFill>
              </a:rPr>
              <a:t> SEASON PASS</a:t>
            </a:r>
            <a:endParaRPr lang="pt-BR" sz="1100">
              <a:solidFill>
                <a:schemeClr val="bg1"/>
              </a:solidFill>
            </a:endParaRPr>
          </a:p>
        </xdr:txBody>
      </xdr:sp>
      <xdr:sp macro="" textlink="C̳álculos!D28">
        <xdr:nvSpPr>
          <xdr:cNvPr id="10" name="Retângulo 9">
            <a:extLst>
              <a:ext uri="{FF2B5EF4-FFF2-40B4-BE49-F238E27FC236}">
                <a16:creationId xmlns:a16="http://schemas.microsoft.com/office/drawing/2014/main" id="{D9015349-437D-4A03-AE8A-98685F48FAA7}"/>
              </a:ext>
            </a:extLst>
          </xdr:cNvPr>
          <xdr:cNvSpPr/>
        </xdr:nvSpPr>
        <xdr:spPr>
          <a:xfrm>
            <a:off x="9245031" y="1856197"/>
            <a:ext cx="2226066" cy="55651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fld id="{0FE3246E-0054-4938-839F-CD8610EC0EB7}" type="TxLink">
              <a:rPr lang="en-US" sz="2800" b="0" i="0" u="none" strike="noStrike">
                <a:solidFill>
                  <a:srgbClr val="000000"/>
                </a:solidFill>
                <a:latin typeface="Aptos Narrow"/>
              </a:rPr>
              <a:t>R$ 1.140,00</a:t>
            </a:fld>
            <a:endParaRPr lang="pt-BR" sz="13800"/>
          </a:p>
        </xdr:txBody>
      </xdr: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375AFD45-7888-4833-8F74-75598D9444CC}"/>
              </a:ext>
            </a:extLst>
          </xdr:cNvPr>
          <xdr:cNvGrpSpPr/>
        </xdr:nvGrpSpPr>
        <xdr:grpSpPr>
          <a:xfrm>
            <a:off x="7727447" y="1815100"/>
            <a:ext cx="1176823" cy="597772"/>
            <a:chOff x="3495675" y="5400674"/>
            <a:chExt cx="1549476" cy="752476"/>
          </a:xfrm>
        </xdr:grpSpPr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26EE5087-973D-810D-6AF2-DB3D314FA46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4" name="Gráfico 13">
              <a:extLst>
                <a:ext uri="{FF2B5EF4-FFF2-40B4-BE49-F238E27FC236}">
                  <a16:creationId xmlns:a16="http://schemas.microsoft.com/office/drawing/2014/main" id="{A9AE60B9-4384-E0E6-169C-E924E1FAB0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0</xdr:col>
      <xdr:colOff>192212</xdr:colOff>
      <xdr:row>1</xdr:row>
      <xdr:rowOff>834</xdr:rowOff>
    </xdr:from>
    <xdr:to>
      <xdr:col>0</xdr:col>
      <xdr:colOff>1207213</xdr:colOff>
      <xdr:row>6</xdr:row>
      <xdr:rowOff>111303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8FD094AE-B167-40AF-B8CB-F6EF06C2C804}"/>
            </a:ext>
          </a:extLst>
        </xdr:cNvPr>
        <xdr:cNvSpPr/>
      </xdr:nvSpPr>
      <xdr:spPr>
        <a:xfrm>
          <a:off x="192212" y="180632"/>
          <a:ext cx="1015001" cy="1052267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72347</xdr:colOff>
      <xdr:row>6</xdr:row>
      <xdr:rowOff>196920</xdr:rowOff>
    </xdr:from>
    <xdr:to>
      <xdr:col>0</xdr:col>
      <xdr:colOff>1673403</xdr:colOff>
      <xdr:row>7</xdr:row>
      <xdr:rowOff>34246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9AE0BF20-21A2-6AAB-F862-AEF2596B55F3}"/>
            </a:ext>
          </a:extLst>
        </xdr:cNvPr>
        <xdr:cNvSpPr/>
      </xdr:nvSpPr>
      <xdr:spPr>
        <a:xfrm>
          <a:off x="72347" y="1318516"/>
          <a:ext cx="1601056" cy="256854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>
              <a:solidFill>
                <a:schemeClr val="bg1"/>
              </a:solidFill>
            </a:rPr>
            <a:t>&gt; Bem</a:t>
          </a:r>
          <a:r>
            <a:rPr lang="pt-BR" sz="1200" b="1" baseline="0">
              <a:solidFill>
                <a:schemeClr val="bg1"/>
              </a:solidFill>
            </a:rPr>
            <a:t> vinda, Liana!</a:t>
          </a:r>
          <a:endParaRPr lang="pt-BR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128428</xdr:colOff>
      <xdr:row>4</xdr:row>
      <xdr:rowOff>51371</xdr:rowOff>
    </xdr:from>
    <xdr:to>
      <xdr:col>7</xdr:col>
      <xdr:colOff>188360</xdr:colOff>
      <xdr:row>6</xdr:row>
      <xdr:rowOff>51370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C78C57CD-A599-7211-3A5D-A4E5DDA1F187}"/>
            </a:ext>
          </a:extLst>
        </xdr:cNvPr>
        <xdr:cNvSpPr/>
      </xdr:nvSpPr>
      <xdr:spPr>
        <a:xfrm>
          <a:off x="2054832" y="924674"/>
          <a:ext cx="3339101" cy="248292"/>
        </a:xfrm>
        <a:prstGeom prst="rect">
          <a:avLst/>
        </a:prstGeom>
        <a:solidFill>
          <a:srgbClr val="E8E6E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2">
                  <a:lumMod val="50000"/>
                </a:schemeClr>
              </a:solidFill>
            </a:rPr>
            <a:t>Período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de apuração: 01/01/2024 - 14/12/2024</a:t>
          </a:r>
          <a:endParaRPr lang="pt-BR" sz="11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163737</xdr:colOff>
      <xdr:row>14</xdr:row>
      <xdr:rowOff>35049</xdr:rowOff>
    </xdr:from>
    <xdr:to>
      <xdr:col>17</xdr:col>
      <xdr:colOff>488023</xdr:colOff>
      <xdr:row>16</xdr:row>
      <xdr:rowOff>89407</xdr:rowOff>
    </xdr:to>
    <xdr:sp macro="" textlink="">
      <xdr:nvSpPr>
        <xdr:cNvPr id="22" name="Retângulo: Cantos Superiores Arredondados 21">
          <a:extLst>
            <a:ext uri="{FF2B5EF4-FFF2-40B4-BE49-F238E27FC236}">
              <a16:creationId xmlns:a16="http://schemas.microsoft.com/office/drawing/2014/main" id="{071ABDCD-DB5D-418F-9B83-87653BA46A7A}"/>
            </a:ext>
          </a:extLst>
        </xdr:cNvPr>
        <xdr:cNvSpPr/>
      </xdr:nvSpPr>
      <xdr:spPr>
        <a:xfrm>
          <a:off x="2329872" y="2834757"/>
          <a:ext cx="9288488" cy="413953"/>
        </a:xfrm>
        <a:prstGeom prst="round2Same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>
              <a:solidFill>
                <a:schemeClr val="bg1"/>
              </a:solidFill>
            </a:rPr>
            <a:t>TOTAL</a:t>
          </a:r>
          <a:r>
            <a:rPr lang="pt-BR" sz="1600" baseline="0">
              <a:solidFill>
                <a:schemeClr val="bg1"/>
              </a:solidFill>
            </a:rPr>
            <a:t> SUBSCRIPTION XBOX GAME PASS</a:t>
          </a:r>
          <a:endParaRPr lang="pt-BR" sz="11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cila Ogawa" refreshedDate="46064.424557060185" createdVersion="8" refreshedVersion="8" minRefreshableVersion="3" recordCount="295" xr:uid="{77CBB3EB-B30A-44D8-B048-AD451B1CC597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4786391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D5F85-8827-40DD-BBC1-D69FEC5BCF20}" name="Tabela dinâmica3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4:C28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03B116-35F7-4665-87BB-F3E4A772EA32}" name="ea_seasonpass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5:C19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B82A79-2F7D-4128-9536-55A1101A7985}" name="autorenewal_total" cacheId="1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6:C9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804ED73-13AD-47A4-A9FC-8C0489638A03}" sourceName="Subscription Type">
  <pivotTables>
    <pivotTable tabId="3" name="autorenewal_total"/>
    <pivotTable tabId="3" name="ea_seasonpass_total"/>
    <pivotTable tabId="3" name="Tabela dinâmica3"/>
  </pivotTables>
  <data>
    <tabular pivotCacheId="1478639183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2A36FDA-E23F-4D16-8D73-24519E0F375B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sortState xmlns:xlrd2="http://schemas.microsoft.com/office/spreadsheetml/2017/richdata2" ref="A2:M294">
    <sortCondition ref="D1:D296"/>
  </sortState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D10" sqref="D10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2" sqref="A2:M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D28"/>
  <sheetViews>
    <sheetView showGridLines="0" topLeftCell="A4" workbookViewId="0">
      <selection activeCell="D28" sqref="D28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2:3" x14ac:dyDescent="0.3">
      <c r="B4" s="12" t="s">
        <v>16</v>
      </c>
      <c r="C4" t="s">
        <v>27</v>
      </c>
    </row>
    <row r="6" spans="2:3" x14ac:dyDescent="0.3">
      <c r="B6" s="12" t="s">
        <v>313</v>
      </c>
      <c r="C6" t="s">
        <v>315</v>
      </c>
    </row>
    <row r="7" spans="2:3" x14ac:dyDescent="0.3">
      <c r="B7" s="13" t="s">
        <v>23</v>
      </c>
      <c r="C7" s="14">
        <v>806</v>
      </c>
    </row>
    <row r="8" spans="2:3" x14ac:dyDescent="0.3">
      <c r="B8" s="13" t="s">
        <v>19</v>
      </c>
      <c r="C8" s="14">
        <v>1502</v>
      </c>
    </row>
    <row r="9" spans="2:3" x14ac:dyDescent="0.3">
      <c r="B9" s="13" t="s">
        <v>314</v>
      </c>
      <c r="C9" s="14">
        <v>2308</v>
      </c>
    </row>
    <row r="13" spans="2:3" x14ac:dyDescent="0.3">
      <c r="B13" s="12" t="s">
        <v>16</v>
      </c>
      <c r="C13" t="s">
        <v>27</v>
      </c>
    </row>
    <row r="15" spans="2:3" x14ac:dyDescent="0.3">
      <c r="B15" s="12" t="s">
        <v>313</v>
      </c>
      <c r="C15" t="s">
        <v>316</v>
      </c>
    </row>
    <row r="16" spans="2:3" x14ac:dyDescent="0.3">
      <c r="B16" s="13" t="s">
        <v>22</v>
      </c>
      <c r="C16" s="14">
        <v>0</v>
      </c>
    </row>
    <row r="17" spans="2:4" x14ac:dyDescent="0.3">
      <c r="B17" s="13" t="s">
        <v>26</v>
      </c>
      <c r="C17" s="14">
        <v>0</v>
      </c>
    </row>
    <row r="18" spans="2:4" x14ac:dyDescent="0.3">
      <c r="B18" s="13" t="s">
        <v>18</v>
      </c>
      <c r="C18" s="14">
        <v>990</v>
      </c>
    </row>
    <row r="19" spans="2:4" x14ac:dyDescent="0.3">
      <c r="B19" s="13" t="s">
        <v>314</v>
      </c>
      <c r="C19" s="14">
        <v>990</v>
      </c>
      <c r="D19" s="17">
        <f>GETPIVOTDATA("EA Play Season Pass
Price",$B$15)</f>
        <v>990</v>
      </c>
    </row>
    <row r="22" spans="2:4" x14ac:dyDescent="0.3">
      <c r="B22" s="12" t="s">
        <v>16</v>
      </c>
      <c r="C22" t="s">
        <v>27</v>
      </c>
    </row>
    <row r="24" spans="2:4" x14ac:dyDescent="0.3">
      <c r="B24" s="12" t="s">
        <v>313</v>
      </c>
      <c r="C24" t="s">
        <v>317</v>
      </c>
    </row>
    <row r="25" spans="2:4" x14ac:dyDescent="0.3">
      <c r="B25" s="13" t="s">
        <v>22</v>
      </c>
      <c r="C25" s="14">
        <v>0</v>
      </c>
    </row>
    <row r="26" spans="2:4" x14ac:dyDescent="0.3">
      <c r="B26" s="13" t="s">
        <v>26</v>
      </c>
      <c r="C26" s="14">
        <v>480</v>
      </c>
    </row>
    <row r="27" spans="2:4" x14ac:dyDescent="0.3">
      <c r="B27" s="13" t="s">
        <v>18</v>
      </c>
      <c r="C27" s="14">
        <v>660</v>
      </c>
    </row>
    <row r="28" spans="2:4" x14ac:dyDescent="0.3">
      <c r="B28" s="13" t="s">
        <v>314</v>
      </c>
      <c r="C28" s="14">
        <v>1140</v>
      </c>
      <c r="D28" s="17">
        <f>GETPIVOTDATA("Minecraft Season Pass Price",$B$24)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V42"/>
  <sheetViews>
    <sheetView showGridLines="0" tabSelected="1" zoomScale="89" zoomScaleNormal="89" workbookViewId="0">
      <selection activeCell="C17" sqref="C17"/>
    </sheetView>
  </sheetViews>
  <sheetFormatPr defaultRowHeight="14.4" x14ac:dyDescent="0.3"/>
  <cols>
    <col min="1" max="1" width="28.109375" style="18" customWidth="1"/>
    <col min="2" max="2" width="3.5546875" customWidth="1"/>
    <col min="12" max="12" width="6.5546875" customWidth="1"/>
  </cols>
  <sheetData>
    <row r="2" spans="2:22" ht="39" customHeight="1" thickBot="1" x14ac:dyDescent="0.45">
      <c r="C2" s="15" t="s">
        <v>318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22" ht="8.25" customHeight="1" x14ac:dyDescent="0.3"/>
    <row r="4" spans="2:22" ht="7.5" customHeight="1" x14ac:dyDescent="0.3"/>
    <row r="5" spans="2:22" ht="10.5" customHeight="1" x14ac:dyDescent="0.3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2:22" ht="9.75" customHeight="1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spans="2:22" ht="33" customHeight="1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2:22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2:22" x14ac:dyDescent="0.3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2:22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2:22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2:22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2:22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2:22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2:22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2:22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2:22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2:22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2:22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2:22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2:22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2:22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2:22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2:22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2:22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2:22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2:22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2:22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2:22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2:22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2:22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2:22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2:22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2:22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2:22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2:22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2:22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2:22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2:22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2:22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2:22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2:22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Priscila Oliveira</cp:lastModifiedBy>
  <dcterms:created xsi:type="dcterms:W3CDTF">2024-12-19T13:13:10Z</dcterms:created>
  <dcterms:modified xsi:type="dcterms:W3CDTF">2026-02-11T13:55:50Z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